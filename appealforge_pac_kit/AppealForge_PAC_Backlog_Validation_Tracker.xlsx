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1e2964507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52d05344e5149f1"/>
    <x:sheet xmlns:r="http://schemas.openxmlformats.org/officeDocument/2006/relationships" name="Sprint Backlog" sheetId="2" r:id="Rd631003083cb4aa5"/>
    <x:sheet xmlns:r="http://schemas.openxmlformats.org/officeDocument/2006/relationships" name="Validation" sheetId="3" r:id="Rc2f5732cc99f47ff"/>
    <x:sheet xmlns:r="http://schemas.openxmlformats.org/officeDocument/2006/relationships" name="Pilot ROI" sheetId="4" r:id="R2008301ce89f4997"/>
    <x:sheet xmlns:r="http://schemas.openxmlformats.org/officeDocument/2006/relationships" name="Risks" sheetId="5" r:id="Rbf6ab901217c4eb7"/>
    <x:sheet xmlns:r="http://schemas.openxmlformats.org/officeDocument/2006/relationships" name="Compliance" sheetId="6" r:id="Rf64b99f730fe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.0"/>
    <x:numFmt numFmtId="203" formatCode="$#,##0"/>
    <x:numFmt numFmtId="204" formatCode="0.0x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8111F"/>
      <x:name val="Carlito"/>
    </x:font>
    <x:font>
      <x:sz val="11"/>
      <x:color rgb="FF08111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111F"/>
      </x:patternFill>
    </x:fill>
    <x:fill>
      <x:patternFill patternType="solid">
        <x:fgColor rgb="FF0D1B2A"/>
      </x:patternFill>
    </x:fill>
    <x:fill>
      <x:patternFill patternType="solid">
        <x:fgColor rgb="FF123047"/>
      </x:patternFill>
    </x:fill>
    <x:fill>
      <x:patternFill patternType="solid">
        <x:fgColor rgb="FFF8F5EF"/>
      </x:patternFill>
    </x:fill>
    <x:fill>
      <x:patternFill patternType="solid">
        <x:fgColor rgb="FF00A88E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d0790bc174f84" /><Relationship Type="http://schemas.openxmlformats.org/officeDocument/2006/relationships/theme" Target="/xl/theme/theme1.xml" Id="R1e59ad9dc87041e9" /><Relationship Type="http://schemas.openxmlformats.org/officeDocument/2006/relationships/sharedStrings" Target="/xl/sharedStrings.xml" Id="R409cc4f1c4634f6f" /><Relationship Type="http://schemas.openxmlformats.org/officeDocument/2006/relationships/worksheet" Target="/xl/worksheets/sheet1.xml" Id="R152d05344e5149f1" /><Relationship Type="http://schemas.openxmlformats.org/officeDocument/2006/relationships/worksheet" Target="/xl/worksheets/sheet2.xml" Id="Rd631003083cb4aa5" /><Relationship Type="http://schemas.openxmlformats.org/officeDocument/2006/relationships/worksheet" Target="/xl/worksheets/sheet3.xml" Id="Rc2f5732cc99f47ff" /><Relationship Type="http://schemas.openxmlformats.org/officeDocument/2006/relationships/worksheet" Target="/xl/worksheets/sheet4.xml" Id="R2008301ce89f4997" /><Relationship Type="http://schemas.openxmlformats.org/officeDocument/2006/relationships/worksheet" Target="/xl/worksheets/sheet5.xml" Id="Rbf6ab901217c4eb7" /><Relationship Type="http://schemas.openxmlformats.org/officeDocument/2006/relationships/worksheet" Target="/xl/worksheets/sheet6.xml" Id="Rf64b99f730fe4e26" /></Relationships>
</file>

<file path=xl/tables/table1.xml><?xml version="1.0" encoding="utf-8"?>
<x:table xmlns:x="http://schemas.openxmlformats.org/spreadsheetml/2006/main" id="1" name="BacklogTable" displayName="BacklogTable" ref="A1:I35" headerRowCount="1">
  <x:tableColumns count="9">
    <x:tableColumn id="1" name="ID"/>
    <x:tableColumn id="2" name="Sprint"/>
    <x:tableColumn id="3" name="Area"/>
    <x:tableColumn id="4" name="Task"/>
    <x:tableColumn id="5" name="Priority"/>
    <x:tableColumn id="6" name="Status"/>
    <x:tableColumn id="7" name="Owner"/>
    <x:tableColumn id="8" name="Acceptance Criteria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Table" displayName="ValidationTable" ref="A1:K26" headerRowCount="1">
  <x:tableColumns count="11">
    <x:tableColumn id="1" name="Date"/>
    <x:tableColumn id="2" name="Org"/>
    <x:tableColumn id="3" name="Contact"/>
    <x:tableColumn id="4" name="Role"/>
    <x:tableColumn id="5" name="Facility Count"/>
    <x:tableColumn id="6" name="MA Denials/Month"/>
    <x:tableColumn id="7" name="Appeal Rate"/>
    <x:tableColumn id="8" name="Packet Time (hrs)"/>
    <x:tableColumn id="9" name="Can Provide De-ID Cases"/>
    <x:tableColumn id="10" name="Qualified Pilot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Table" displayName="RiskTable" ref="A1:F8" headerRowCount="1">
  <x:tableColumns count="6">
    <x:tableColumn id="1" name="Risk"/>
    <x:tableColumn id="2" name="Probability"/>
    <x:tableColumn id="3" name="Severity"/>
    <x:tableColumn id="4" name="Mitigation"/>
    <x:tableColumn id="5" name="Status"/>
    <x:tableColumn id="6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ComplianceTable" displayName="ComplianceTable" ref="A1:F13" headerRowCount="1">
  <x:tableColumns count="6">
    <x:tableColumn id="1" name="Area"/>
    <x:tableColumn id="2" name="Control"/>
    <x:tableColumn id="3" name="Required Before Live PHI"/>
    <x:tableColumn id="4" name="Status"/>
    <x:tableColumn id="5" name="Owner"/>
    <x:tableColumn id="6" name="Evidence/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ccf317a983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3ceb5d5dbb48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0238ddd30f647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dce69e254ba498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4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5" t="str">
        <x:v>AppealForge PAC — Build, Validation, and Pilot Tracker</x:v>
      </x:c>
    </x:row>
    <x:row r="3">
      <x:c r="A3" s="13" t="str">
        <x:v>Metric</x:v>
      </x:c>
      <x:c r="B3" s="13" t="str">
        <x:v>Value</x:v>
      </x:c>
      <x:c r="D3" s="13" t="str">
        <x:v>Operating Notes</x:v>
      </x:c>
    </x:row>
    <x:row r="4">
      <x:c r="A4" s="19" t="str">
        <x:v>Backlog tasks</x:v>
      </x:c>
      <x:c r="B4" s="24" t="n">
        <x:f>COUNTA('Sprint Backlog'!A2:A200)</x:f>
        <x:v>34</x:v>
      </x:c>
      <x:c r="D4" s="64" t="str">
        <x:v>Narrow wedge: MA post-acute denial-to-appeal packets.</x:v>
      </x:c>
      <x:c r="E4" s="64"/>
      <x:c r="F4" s="64"/>
      <x:c r="G4" s="64"/>
      <x:c r="H4" s="64"/>
    </x:row>
    <x:row r="5">
      <x:c r="A5" s="19" t="str">
        <x:v>Open tasks</x:v>
      </x:c>
      <x:c r="B5" s="24" t="n">
        <x:f>COUNTIFS('Sprint Backlog'!A2:A200,"&lt;&gt;",'Sprint Backlog'!F2:F200,"&lt;&gt;Done")</x:f>
        <x:v>34</x:v>
      </x:c>
      <x:c r="D5" s="64" t="str">
        <x:v>Design bar: premium clinical command center, not bland CRUD.</x:v>
      </x:c>
      <x:c r="E5" s="64"/>
      <x:c r="F5" s="64"/>
      <x:c r="G5" s="64"/>
      <x:c r="H5" s="64"/>
    </x:row>
    <x:row r="6">
      <x:c r="A6" s="19" t="str">
        <x:v>Done tasks</x:v>
      </x:c>
      <x:c r="B6" s="24" t="n">
        <x:f>COUNTIF('Sprint Backlog'!F2:F200,"Done")</x:f>
        <x:v>0</x:v>
      </x:c>
      <x:c r="D6" s="64" t="str">
        <x:v>Safety bar: citation-only clinical claims; human approval before export.</x:v>
      </x:c>
      <x:c r="E6" s="64"/>
      <x:c r="F6" s="64"/>
      <x:c r="G6" s="64"/>
      <x:c r="H6" s="64"/>
    </x:row>
    <x:row r="7">
      <x:c r="A7" s="19" t="str">
        <x:v>High priority tasks</x:v>
      </x:c>
      <x:c r="B7" s="24" t="n">
        <x:f>COUNTIF('Sprint Backlog'!E2:E200,"High")</x:f>
        <x:v>26</x:v>
      </x:c>
      <x:c r="D7" s="64" t="str">
        <x:v>Codex bar: use combined tokenmax sprint, then continue/polish prompts.</x:v>
      </x:c>
      <x:c r="E7" s="64"/>
      <x:c r="F7" s="64"/>
      <x:c r="G7" s="64"/>
      <x:c r="H7" s="64"/>
    </x:row>
    <x:row r="8">
      <x:c r="A8" s="19" t="str">
        <x:v>Discovery calls</x:v>
      </x:c>
      <x:c r="B8" s="24" t="n">
        <x:f>COUNTA(Validation!A2:A100)</x:f>
        <x:v>0</x:v>
      </x:c>
    </x:row>
    <x:row r="9">
      <x:c r="A9" s="19" t="str">
        <x:v>Qualified pilots</x:v>
      </x:c>
      <x:c r="B9" s="24" t="n">
        <x:f>COUNTIF(Validation!J2:J100,"Yes")</x:f>
        <x:v>0</x:v>
      </x:c>
    </x:row>
    <x:row r="10">
      <x:c r="A10" s="19" t="str">
        <x:v>Compliance items open</x:v>
      </x:c>
      <x:c r="B10" s="24" t="n">
        <x:f>COUNTIF(Compliance!D2:D100,"Open")</x:f>
        <x:v>12</x:v>
      </x:c>
    </x:row>
    <x:row r="11">
      <x:c r="A11" s="19" t="str">
        <x:v>Critical risks</x:v>
      </x:c>
      <x:c r="B11" s="24" t="n">
        <x:f>COUNTIFS(Risks!C2:C100,"High",Risks!E2:E100,"Open")</x:f>
        <x:v>4</x:v>
      </x:c>
    </x:row>
    <x:row r="13" ht="34" customHeight="1">
      <x:c r="A13" s="66" t="str">
        <x:v>14-Day Validation Target: 20 conversations → 5 qualified operators → 3 de-identified packet tests → 1 paid pilot</x:v>
      </x:c>
      <x:c r="B13" s="36"/>
      <x:c r="C13" s="36"/>
      <x:c r="D13" s="36"/>
      <x:c r="E13" s="36"/>
      <x:c r="F13" s="36"/>
      <x:c r="G13" s="36"/>
      <x:c r="H13" s="36"/>
    </x:row>
  </x:sheetData>
  <x:mergeCells>
    <x:mergeCell ref="A1:H1"/>
    <x:mergeCell ref="D3:H3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42" hidden="0" customWidth="1"/>
    <x:col min="5" max="5" width="12" hidden="0" customWidth="1"/>
    <x:col min="6" max="6" width="15" hidden="0" customWidth="1"/>
    <x:col min="7" max="7" width="14" hidden="0" customWidth="1"/>
    <x:col min="8" max="8" width="45" hidden="0" customWidth="1"/>
    <x:col min="9" max="9" width="26" hidden="0" customWidth="1"/>
  </x:cols>
  <x:sheetData>
    <x:row r="1" ht="15" hidden="0" customHeight="1">
      <x:c r="A1" s="13" t="str">
        <x:v>ID</x:v>
      </x:c>
      <x:c r="B1" s="13" t="str">
        <x:v>Sprint</x:v>
      </x:c>
      <x:c r="C1" s="13" t="str">
        <x:v>Area</x:v>
      </x:c>
      <x:c r="D1" s="13" t="str">
        <x:v>Task</x:v>
      </x:c>
      <x:c r="E1" s="13" t="str">
        <x:v>Priority</x:v>
      </x:c>
      <x:c r="F1" s="13" t="str">
        <x:v>Status</x:v>
      </x:c>
      <x:c r="G1" s="13" t="str">
        <x:v>Owner</x:v>
      </x:c>
      <x:c r="H1" s="13" t="str">
        <x:v>Acceptance Criteria</x:v>
      </x:c>
      <x:c r="I1" s="13" t="str">
        <x:v>Notes</x:v>
      </x:c>
    </x:row>
    <x:row r="2">
      <x:c r="A2" s="36" t="str">
        <x:v>T-001</x:v>
      </x:c>
      <x:c r="B2" s="36" t="str">
        <x:v>S01</x:v>
      </x:c>
      <x:c r="C2" s="36" t="str">
        <x:v>Foundation</x:v>
      </x:c>
      <x:c r="D2" s="36" t="str">
        <x:v>Create Next.js 15 app with TypeScript</x:v>
      </x:c>
      <x:c r="E2" s="36" t="str">
        <x:v>High</x:v>
      </x:c>
      <x:c r="F2" s="36" t="str">
        <x:v>Not Started</x:v>
      </x:c>
      <x:c r="G2" s="36" t="str">
        <x:v>Codex</x:v>
      </x:c>
      <x:c r="H2" s="36" t="str">
        <x:v>Implemented, reviewed, tested, and documented.</x:v>
      </x:c>
      <x:c r="I2" s="36" t="str"/>
    </x:row>
    <x:row r="3">
      <x:c r="A3" s="36" t="str">
        <x:v>T-002</x:v>
      </x:c>
      <x:c r="B3" s="36" t="str">
        <x:v>S01</x:v>
      </x:c>
      <x:c r="C3" s="36" t="str">
        <x:v>Foundation</x:v>
      </x:c>
      <x:c r="D3" s="36" t="str">
        <x:v>Configure Tailwind with AppealForge tokens</x:v>
      </x:c>
      <x:c r="E3" s="36" t="str">
        <x:v>High</x:v>
      </x:c>
      <x:c r="F3" s="36" t="str">
        <x:v>Not Started</x:v>
      </x:c>
      <x:c r="G3" s="36" t="str">
        <x:v>Codex</x:v>
      </x:c>
      <x:c r="H3" s="36" t="str">
        <x:v>Implemented, reviewed, tested, and documented.</x:v>
      </x:c>
      <x:c r="I3" s="36" t="str"/>
    </x:row>
    <x:row r="4">
      <x:c r="A4" s="36" t="str">
        <x:v>T-003</x:v>
      </x:c>
      <x:c r="B4" s="36" t="str">
        <x:v>S01</x:v>
      </x:c>
      <x:c r="C4" s="36" t="str">
        <x:v>Foundation</x:v>
      </x:c>
      <x:c r="D4" s="36" t="str">
        <x:v>Add Prisma schema and seed script</x:v>
      </x:c>
      <x:c r="E4" s="36" t="str">
        <x:v>High</x:v>
      </x:c>
      <x:c r="F4" s="36" t="str">
        <x:v>Not Started</x:v>
      </x:c>
      <x:c r="G4" s="36" t="str">
        <x:v>Codex</x:v>
      </x:c>
      <x:c r="H4" s="36" t="str">
        <x:v>Implemented, reviewed, tested, and documented.</x:v>
      </x:c>
      <x:c r="I4" s="36" t="str"/>
    </x:row>
    <x:row r="5">
      <x:c r="A5" s="36" t="str">
        <x:v>T-004</x:v>
      </x:c>
      <x:c r="B5" s="36" t="str">
        <x:v>S01</x:v>
      </x:c>
      <x:c r="C5" s="36" t="str">
        <x:v>Foundation</x:v>
      </x:c>
      <x:c r="D5" s="36" t="str">
        <x:v>Create demo auth/session guard</x:v>
      </x:c>
      <x:c r="E5" s="36" t="str">
        <x:v>High</x:v>
      </x:c>
      <x:c r="F5" s="36" t="str">
        <x:v>Not Started</x:v>
      </x:c>
      <x:c r="G5" s="36" t="str">
        <x:v>Codex</x:v>
      </x:c>
      <x:c r="H5" s="36" t="str">
        <x:v>Implemented, reviewed, tested, and documented.</x:v>
      </x:c>
      <x:c r="I5" s="36" t="str"/>
    </x:row>
    <x:row r="6">
      <x:c r="A6" s="36" t="str">
        <x:v>T-005</x:v>
      </x:c>
      <x:c r="B6" s="36" t="str">
        <x:v>S02</x:v>
      </x:c>
      <x:c r="C6" s="36" t="str">
        <x:v>Design</x:v>
      </x:c>
      <x:c r="D6" s="36" t="str">
        <x:v>Build premium login page</x:v>
      </x:c>
      <x:c r="E6" s="36" t="str">
        <x:v>High</x:v>
      </x:c>
      <x:c r="F6" s="36" t="str">
        <x:v>Not Started</x:v>
      </x:c>
      <x:c r="G6" s="36" t="str">
        <x:v>Codex</x:v>
      </x:c>
      <x:c r="H6" s="36" t="str">
        <x:v>Implemented, reviewed, tested, and documented.</x:v>
      </x:c>
      <x:c r="I6" s="36" t="str"/>
    </x:row>
    <x:row r="7">
      <x:c r="A7" s="36" t="str">
        <x:v>T-006</x:v>
      </x:c>
      <x:c r="B7" s="36" t="str">
        <x:v>S02</x:v>
      </x:c>
      <x:c r="C7" s="36" t="str">
        <x:v>Design</x:v>
      </x:c>
      <x:c r="D7" s="36" t="str">
        <x:v>Build dashboard KPI strip and urgent queue</x:v>
      </x:c>
      <x:c r="E7" s="36" t="str">
        <x:v>High</x:v>
      </x:c>
      <x:c r="F7" s="36" t="str">
        <x:v>Not Started</x:v>
      </x:c>
      <x:c r="G7" s="36" t="str">
        <x:v>Codex</x:v>
      </x:c>
      <x:c r="H7" s="36" t="str">
        <x:v>Implemented, reviewed, tested, and documented.</x:v>
      </x:c>
      <x:c r="I7" s="36" t="str"/>
    </x:row>
    <x:row r="8">
      <x:c r="A8" s="36" t="str">
        <x:v>T-007</x:v>
      </x:c>
      <x:c r="B8" s="36" t="str">
        <x:v>S02</x:v>
      </x:c>
      <x:c r="C8" s="36" t="str">
        <x:v>Design</x:v>
      </x:c>
      <x:c r="D8" s="36" t="str">
        <x:v>Build app shell/sidebar/header</x:v>
      </x:c>
      <x:c r="E8" s="36" t="str">
        <x:v>Medium</x:v>
      </x:c>
      <x:c r="F8" s="36" t="str">
        <x:v>Not Started</x:v>
      </x:c>
      <x:c r="G8" s="36" t="str">
        <x:v>Codex</x:v>
      </x:c>
      <x:c r="H8" s="36" t="str">
        <x:v>Implemented, reviewed, tested, and documented.</x:v>
      </x:c>
      <x:c r="I8" s="36" t="str"/>
    </x:row>
    <x:row r="9">
      <x:c r="A9" s="36" t="str">
        <x:v>T-008</x:v>
      </x:c>
      <x:c r="B9" s="36" t="str">
        <x:v>S02</x:v>
      </x:c>
      <x:c r="C9" s="36" t="str">
        <x:v>Design</x:v>
      </x:c>
      <x:c r="D9" s="36" t="str">
        <x:v>Add empty/loading/error states</x:v>
      </x:c>
      <x:c r="E9" s="36" t="str">
        <x:v>Medium</x:v>
      </x:c>
      <x:c r="F9" s="36" t="str">
        <x:v>Not Started</x:v>
      </x:c>
      <x:c r="G9" s="36" t="str">
        <x:v>Codex</x:v>
      </x:c>
      <x:c r="H9" s="36" t="str">
        <x:v>Implemented, reviewed, tested, and documented.</x:v>
      </x:c>
      <x:c r="I9" s="36" t="str"/>
    </x:row>
    <x:row r="10">
      <x:c r="A10" s="36" t="str">
        <x:v>T-009</x:v>
      </x:c>
      <x:c r="B10" s="36" t="str">
        <x:v>S03</x:v>
      </x:c>
      <x:c r="C10" s="36" t="str">
        <x:v>Documents</x:v>
      </x:c>
      <x:c r="D10" s="36" t="str">
        <x:v>Implement document upload metadata flow</x:v>
      </x:c>
      <x:c r="E10" s="36" t="str">
        <x:v>High</x:v>
      </x:c>
      <x:c r="F10" s="36" t="str">
        <x:v>Not Started</x:v>
      </x:c>
      <x:c r="G10" s="36" t="str">
        <x:v>Codex</x:v>
      </x:c>
      <x:c r="H10" s="36" t="str">
        <x:v>Implemented, reviewed, tested, and documented.</x:v>
      </x:c>
      <x:c r="I10" s="36" t="str"/>
    </x:row>
    <x:row r="11">
      <x:c r="A11" s="36" t="str">
        <x:v>T-010</x:v>
      </x:c>
      <x:c r="B11" s="36" t="str">
        <x:v>S03</x:v>
      </x:c>
      <x:c r="C11" s="36" t="str">
        <x:v>Documents</x:v>
      </x:c>
      <x:c r="D11" s="36" t="str">
        <x:v>Create deterministic synthetic extraction pipeline</x:v>
      </x:c>
      <x:c r="E11" s="36" t="str">
        <x:v>High</x:v>
      </x:c>
      <x:c r="F11" s="36" t="str">
        <x:v>Not Started</x:v>
      </x:c>
      <x:c r="G11" s="36" t="str">
        <x:v>Codex</x:v>
      </x:c>
      <x:c r="H11" s="36" t="str">
        <x:v>Implemented, reviewed, tested, and documented.</x:v>
      </x:c>
      <x:c r="I11" s="36" t="str"/>
    </x:row>
    <x:row r="12">
      <x:c r="A12" s="36" t="str">
        <x:v>T-011</x:v>
      </x:c>
      <x:c r="B12" s="36" t="str">
        <x:v>S03</x:v>
      </x:c>
      <x:c r="C12" s="36" t="str">
        <x:v>Documents</x:v>
      </x:c>
      <x:c r="D12" s="36" t="str">
        <x:v>Build denial parser review screen</x:v>
      </x:c>
      <x:c r="E12" s="36" t="str">
        <x:v>High</x:v>
      </x:c>
      <x:c r="F12" s="36" t="str">
        <x:v>Not Started</x:v>
      </x:c>
      <x:c r="G12" s="36" t="str">
        <x:v>Codex</x:v>
      </x:c>
      <x:c r="H12" s="36" t="str">
        <x:v>Implemented, reviewed, tested, and documented.</x:v>
      </x:c>
      <x:c r="I12" s="36" t="str"/>
    </x:row>
    <x:row r="13">
      <x:c r="A13" s="36" t="str">
        <x:v>T-012</x:v>
      </x:c>
      <x:c r="B13" s="36" t="str">
        <x:v>S03</x:v>
      </x:c>
      <x:c r="C13" s="36" t="str">
        <x:v>Documents</x:v>
      </x:c>
      <x:c r="D13" s="36" t="str">
        <x:v>Persist denial findings with citations</x:v>
      </x:c>
      <x:c r="E13" s="36" t="str">
        <x:v>High</x:v>
      </x:c>
      <x:c r="F13" s="36" t="str">
        <x:v>Not Started</x:v>
      </x:c>
      <x:c r="G13" s="36" t="str">
        <x:v>Codex</x:v>
      </x:c>
      <x:c r="H13" s="36" t="str">
        <x:v>Implemented, reviewed, tested, and documented.</x:v>
      </x:c>
      <x:c r="I13" s="36" t="str"/>
    </x:row>
    <x:row r="14">
      <x:c r="A14" s="36" t="str">
        <x:v>T-013</x:v>
      </x:c>
      <x:c r="B14" s="36" t="str">
        <x:v>S04</x:v>
      </x:c>
      <x:c r="C14" s="36" t="str">
        <x:v>Evidence</x:v>
      </x:c>
      <x:c r="D14" s="36" t="str">
        <x:v>Generate criteria from denial reason</x:v>
      </x:c>
      <x:c r="E14" s="36" t="str">
        <x:v>High</x:v>
      </x:c>
      <x:c r="F14" s="36" t="str">
        <x:v>Not Started</x:v>
      </x:c>
      <x:c r="G14" s="36" t="str">
        <x:v>Codex</x:v>
      </x:c>
      <x:c r="H14" s="36" t="str">
        <x:v>Implemented, reviewed, tested, and documented.</x:v>
      </x:c>
      <x:c r="I14" s="36" t="str"/>
    </x:row>
    <x:row r="15">
      <x:c r="A15" s="36" t="str">
        <x:v>T-014</x:v>
      </x:c>
      <x:c r="B15" s="36" t="str">
        <x:v>S04</x:v>
      </x:c>
      <x:c r="C15" s="36" t="str">
        <x:v>Evidence</x:v>
      </x:c>
      <x:c r="D15" s="36" t="str">
        <x:v>Build evidence map cards with status rails</x:v>
      </x:c>
      <x:c r="E15" s="36" t="str">
        <x:v>High</x:v>
      </x:c>
      <x:c r="F15" s="36" t="str">
        <x:v>Not Started</x:v>
      </x:c>
      <x:c r="G15" s="36" t="str">
        <x:v>Codex</x:v>
      </x:c>
      <x:c r="H15" s="36" t="str">
        <x:v>Implemented, reviewed, tested, and documented.</x:v>
      </x:c>
      <x:c r="I15" s="36" t="str"/>
    </x:row>
    <x:row r="16">
      <x:c r="A16" s="36" t="str">
        <x:v>T-015</x:v>
      </x:c>
      <x:c r="B16" s="36" t="str">
        <x:v>S04</x:v>
      </x:c>
      <x:c r="C16" s="36" t="str">
        <x:v>Evidence</x:v>
      </x:c>
      <x:c r="D16" s="36" t="str">
        <x:v>Build source quote drawer</x:v>
      </x:c>
      <x:c r="E16" s="36" t="str">
        <x:v>High</x:v>
      </x:c>
      <x:c r="F16" s="36" t="str">
        <x:v>Not Started</x:v>
      </x:c>
      <x:c r="G16" s="36" t="str">
        <x:v>Codex</x:v>
      </x:c>
      <x:c r="H16" s="36" t="str">
        <x:v>Implemented, reviewed, tested, and documented.</x:v>
      </x:c>
      <x:c r="I16" s="36" t="str"/>
    </x:row>
    <x:row r="17">
      <x:c r="A17" s="36" t="str">
        <x:v>T-016</x:v>
      </x:c>
      <x:c r="B17" s="36" t="str">
        <x:v>S04</x:v>
      </x:c>
      <x:c r="C17" s="36" t="str">
        <x:v>Evidence</x:v>
      </x:c>
      <x:c r="D17" s="36" t="str">
        <x:v>Build missing evidence checklist</x:v>
      </x:c>
      <x:c r="E17" s="36" t="str">
        <x:v>High</x:v>
      </x:c>
      <x:c r="F17" s="36" t="str">
        <x:v>Not Started</x:v>
      </x:c>
      <x:c r="G17" s="36" t="str">
        <x:v>Codex</x:v>
      </x:c>
      <x:c r="H17" s="36" t="str">
        <x:v>Implemented, reviewed, tested, and documented.</x:v>
      </x:c>
      <x:c r="I17" s="36" t="str"/>
    </x:row>
    <x:row r="18">
      <x:c r="A18" s="36" t="str">
        <x:v>T-017</x:v>
      </x:c>
      <x:c r="B18" s="36" t="str">
        <x:v>S04</x:v>
      </x:c>
      <x:c r="C18" s="36" t="str">
        <x:v>Evidence</x:v>
      </x:c>
      <x:c r="D18" s="36" t="str">
        <x:v>Add reviewer status controls</x:v>
      </x:c>
      <x:c r="E18" s="36" t="str">
        <x:v>High</x:v>
      </x:c>
      <x:c r="F18" s="36" t="str">
        <x:v>Not Started</x:v>
      </x:c>
      <x:c r="G18" s="36" t="str">
        <x:v>Codex</x:v>
      </x:c>
      <x:c r="H18" s="36" t="str">
        <x:v>Implemented, reviewed, tested, and documented.</x:v>
      </x:c>
      <x:c r="I18" s="36" t="str"/>
    </x:row>
    <x:row r="19">
      <x:c r="A19" s="36" t="str">
        <x:v>T-018</x:v>
      </x:c>
      <x:c r="B19" s="36" t="str">
        <x:v>S05</x:v>
      </x:c>
      <x:c r="C19" s="36" t="str">
        <x:v>Packet</x:v>
      </x:c>
      <x:c r="D19" s="36" t="str">
        <x:v>Generate packet markdown from reviewed evidence</x:v>
      </x:c>
      <x:c r="E19" s="36" t="str">
        <x:v>High</x:v>
      </x:c>
      <x:c r="F19" s="36" t="str">
        <x:v>Not Started</x:v>
      </x:c>
      <x:c r="G19" s="36" t="str">
        <x:v>Codex</x:v>
      </x:c>
      <x:c r="H19" s="36" t="str">
        <x:v>Implemented, reviewed, tested, and documented.</x:v>
      </x:c>
      <x:c r="I19" s="36" t="str"/>
    </x:row>
    <x:row r="20">
      <x:c r="A20" s="36" t="str">
        <x:v>T-019</x:v>
      </x:c>
      <x:c r="B20" s="36" t="str">
        <x:v>S05</x:v>
      </x:c>
      <x:c r="C20" s="36" t="str">
        <x:v>Packet</x:v>
      </x:c>
      <x:c r="D20" s="36" t="str">
        <x:v>Implement unsupported claim blocker</x:v>
      </x:c>
      <x:c r="E20" s="36" t="str">
        <x:v>High</x:v>
      </x:c>
      <x:c r="F20" s="36" t="str">
        <x:v>Not Started</x:v>
      </x:c>
      <x:c r="G20" s="36" t="str">
        <x:v>Codex</x:v>
      </x:c>
      <x:c r="H20" s="36" t="str">
        <x:v>Implemented, reviewed, tested, and documented.</x:v>
      </x:c>
      <x:c r="I20" s="36" t="str"/>
    </x:row>
    <x:row r="21">
      <x:c r="A21" s="36" t="str">
        <x:v>T-020</x:v>
      </x:c>
      <x:c r="B21" s="36" t="str">
        <x:v>S05</x:v>
      </x:c>
      <x:c r="C21" s="36" t="str">
        <x:v>Packet</x:v>
      </x:c>
      <x:c r="D21" s="36" t="str">
        <x:v>Build packet editor and warm paper preview</x:v>
      </x:c>
      <x:c r="E21" s="36" t="str">
        <x:v>High</x:v>
      </x:c>
      <x:c r="F21" s="36" t="str">
        <x:v>Not Started</x:v>
      </x:c>
      <x:c r="G21" s="36" t="str">
        <x:v>Codex</x:v>
      </x:c>
      <x:c r="H21" s="36" t="str">
        <x:v>Implemented, reviewed, tested, and documented.</x:v>
      </x:c>
      <x:c r="I21" s="36" t="str"/>
    </x:row>
    <x:row r="22">
      <x:c r="A22" s="36" t="str">
        <x:v>T-021</x:v>
      </x:c>
      <x:c r="B22" s="36" t="str">
        <x:v>S05</x:v>
      </x:c>
      <x:c r="C22" s="36" t="str">
        <x:v>Packet</x:v>
      </x:c>
      <x:c r="D22" s="36" t="str">
        <x:v>Implement packet version history</x:v>
      </x:c>
      <x:c r="E22" s="36" t="str">
        <x:v>Medium</x:v>
      </x:c>
      <x:c r="F22" s="36" t="str">
        <x:v>Not Started</x:v>
      </x:c>
      <x:c r="G22" s="36" t="str">
        <x:v>Codex</x:v>
      </x:c>
      <x:c r="H22" s="36" t="str">
        <x:v>Implemented, reviewed, tested, and documented.</x:v>
      </x:c>
      <x:c r="I22" s="36" t="str"/>
    </x:row>
    <x:row r="23">
      <x:c r="A23" s="36" t="str">
        <x:v>T-022</x:v>
      </x:c>
      <x:c r="B23" s="36" t="str">
        <x:v>S05</x:v>
      </x:c>
      <x:c r="C23" s="36" t="str">
        <x:v>Packet</x:v>
      </x:c>
      <x:c r="D23" s="36" t="str">
        <x:v>Add PDF/HTML export with draft watermark</x:v>
      </x:c>
      <x:c r="E23" s="36" t="str">
        <x:v>High</x:v>
      </x:c>
      <x:c r="F23" s="36" t="str">
        <x:v>Not Started</x:v>
      </x:c>
      <x:c r="G23" s="36" t="str">
        <x:v>Codex</x:v>
      </x:c>
      <x:c r="H23" s="36" t="str">
        <x:v>Implemented, reviewed, tested, and documented.</x:v>
      </x:c>
      <x:c r="I23" s="36" t="str"/>
    </x:row>
    <x:row r="24">
      <x:c r="A24" s="36" t="str">
        <x:v>T-023</x:v>
      </x:c>
      <x:c r="B24" s="36" t="str">
        <x:v>S06</x:v>
      </x:c>
      <x:c r="C24" s="36" t="str">
        <x:v>Outcome</x:v>
      </x:c>
      <x:c r="D24" s="36" t="str">
        <x:v>Build communication log</x:v>
      </x:c>
      <x:c r="E24" s="36" t="str">
        <x:v>Medium</x:v>
      </x:c>
      <x:c r="F24" s="36" t="str">
        <x:v>Not Started</x:v>
      </x:c>
      <x:c r="G24" s="36" t="str">
        <x:v>Codex</x:v>
      </x:c>
      <x:c r="H24" s="36" t="str">
        <x:v>Implemented, reviewed, tested, and documented.</x:v>
      </x:c>
      <x:c r="I24" s="36" t="str"/>
    </x:row>
    <x:row r="25">
      <x:c r="A25" s="36" t="str">
        <x:v>T-024</x:v>
      </x:c>
      <x:c r="B25" s="36" t="str">
        <x:v>S06</x:v>
      </x:c>
      <x:c r="C25" s="36" t="str">
        <x:v>Outcome</x:v>
      </x:c>
      <x:c r="D25" s="36" t="str">
        <x:v>Build outcome tracker</x:v>
      </x:c>
      <x:c r="E25" s="36" t="str">
        <x:v>High</x:v>
      </x:c>
      <x:c r="F25" s="36" t="str">
        <x:v>Not Started</x:v>
      </x:c>
      <x:c r="G25" s="36" t="str">
        <x:v>Codex</x:v>
      </x:c>
      <x:c r="H25" s="36" t="str">
        <x:v>Implemented, reviewed, tested, and documented.</x:v>
      </x:c>
      <x:c r="I25" s="36" t="str"/>
    </x:row>
    <x:row r="26">
      <x:c r="A26" s="36" t="str">
        <x:v>T-025</x:v>
      </x:c>
      <x:c r="B26" s="36" t="str">
        <x:v>S06</x:v>
      </x:c>
      <x:c r="C26" s="36" t="str">
        <x:v>Audit</x:v>
      </x:c>
      <x:c r="D26" s="36" t="str">
        <x:v>Write audit events for sensitive actions</x:v>
      </x:c>
      <x:c r="E26" s="36" t="str">
        <x:v>High</x:v>
      </x:c>
      <x:c r="F26" s="36" t="str">
        <x:v>Not Started</x:v>
      </x:c>
      <x:c r="G26" s="36" t="str">
        <x:v>Codex</x:v>
      </x:c>
      <x:c r="H26" s="36" t="str">
        <x:v>Implemented, reviewed, tested, and documented.</x:v>
      </x:c>
      <x:c r="I26" s="36" t="str"/>
    </x:row>
    <x:row r="27">
      <x:c r="A27" s="36" t="str">
        <x:v>T-026</x:v>
      </x:c>
      <x:c r="B27" s="36" t="str">
        <x:v>S06</x:v>
      </x:c>
      <x:c r="C27" s="36" t="str">
        <x:v>Audit</x:v>
      </x:c>
      <x:c r="D27" s="36" t="str">
        <x:v>Build case audit stream</x:v>
      </x:c>
      <x:c r="E27" s="36" t="str">
        <x:v>Medium</x:v>
      </x:c>
      <x:c r="F27" s="36" t="str">
        <x:v>Not Started</x:v>
      </x:c>
      <x:c r="G27" s="36" t="str">
        <x:v>Codex</x:v>
      </x:c>
      <x:c r="H27" s="36" t="str">
        <x:v>Implemented, reviewed, tested, and documented.</x:v>
      </x:c>
      <x:c r="I27" s="36" t="str"/>
    </x:row>
    <x:row r="28">
      <x:c r="A28" s="36" t="str">
        <x:v>T-027</x:v>
      </x:c>
      <x:c r="B28" s="36" t="str">
        <x:v>S07</x:v>
      </x:c>
      <x:c r="C28" s="36" t="str">
        <x:v>Security</x:v>
      </x:c>
      <x:c r="D28" s="36" t="str">
        <x:v>Add RBAC helper and cross-org tests</x:v>
      </x:c>
      <x:c r="E28" s="36" t="str">
        <x:v>High</x:v>
      </x:c>
      <x:c r="F28" s="36" t="str">
        <x:v>Not Started</x:v>
      </x:c>
      <x:c r="G28" s="36" t="str">
        <x:v>Codex</x:v>
      </x:c>
      <x:c r="H28" s="36" t="str">
        <x:v>Implemented, reviewed, tested, and documented.</x:v>
      </x:c>
      <x:c r="I28" s="36" t="str"/>
    </x:row>
    <x:row r="29">
      <x:c r="A29" s="36" t="str">
        <x:v>T-028</x:v>
      </x:c>
      <x:c r="B29" s="36" t="str">
        <x:v>S07</x:v>
      </x:c>
      <x:c r="C29" s="36" t="str">
        <x:v>Testing</x:v>
      </x:c>
      <x:c r="D29" s="36" t="str">
        <x:v>Unit tests for citation validator</x:v>
      </x:c>
      <x:c r="E29" s="36" t="str">
        <x:v>High</x:v>
      </x:c>
      <x:c r="F29" s="36" t="str">
        <x:v>Not Started</x:v>
      </x:c>
      <x:c r="G29" s="36" t="str">
        <x:v>Codex</x:v>
      </x:c>
      <x:c r="H29" s="36" t="str">
        <x:v>Implemented, reviewed, tested, and documented.</x:v>
      </x:c>
      <x:c r="I29" s="36" t="str"/>
    </x:row>
    <x:row r="30">
      <x:c r="A30" s="36" t="str">
        <x:v>T-029</x:v>
      </x:c>
      <x:c r="B30" s="36" t="str">
        <x:v>S07</x:v>
      </x:c>
      <x:c r="C30" s="36" t="str">
        <x:v>Testing</x:v>
      </x:c>
      <x:c r="D30" s="36" t="str">
        <x:v>Unit tests for unsupported claim blocker</x:v>
      </x:c>
      <x:c r="E30" s="36" t="str">
        <x:v>High</x:v>
      </x:c>
      <x:c r="F30" s="36" t="str">
        <x:v>Not Started</x:v>
      </x:c>
      <x:c r="G30" s="36" t="str">
        <x:v>Codex</x:v>
      </x:c>
      <x:c r="H30" s="36" t="str">
        <x:v>Implemented, reviewed, tested, and documented.</x:v>
      </x:c>
      <x:c r="I30" s="36" t="str"/>
    </x:row>
    <x:row r="31">
      <x:c r="A31" s="36" t="str">
        <x:v>T-030</x:v>
      </x:c>
      <x:c r="B31" s="36" t="str">
        <x:v>S07</x:v>
      </x:c>
      <x:c r="C31" s="36" t="str">
        <x:v>Testing</x:v>
      </x:c>
      <x:c r="D31" s="36" t="str">
        <x:v>Playwright demo flow</x:v>
      </x:c>
      <x:c r="E31" s="36" t="str">
        <x:v>High</x:v>
      </x:c>
      <x:c r="F31" s="36" t="str">
        <x:v>Not Started</x:v>
      </x:c>
      <x:c r="G31" s="36" t="str">
        <x:v>Codex</x:v>
      </x:c>
      <x:c r="H31" s="36" t="str">
        <x:v>Implemented, reviewed, tested, and documented.</x:v>
      </x:c>
      <x:c r="I31" s="36" t="str"/>
    </x:row>
    <x:row r="32">
      <x:c r="A32" s="36" t="str">
        <x:v>T-031</x:v>
      </x:c>
      <x:c r="B32" s="36" t="str">
        <x:v>S08</x:v>
      </x:c>
      <x:c r="C32" s="36" t="str">
        <x:v>Polish</x:v>
      </x:c>
      <x:c r="D32" s="36" t="str">
        <x:v>Accessibility pass</x:v>
      </x:c>
      <x:c r="E32" s="36" t="str">
        <x:v>Medium</x:v>
      </x:c>
      <x:c r="F32" s="36" t="str">
        <x:v>Not Started</x:v>
      </x:c>
      <x:c r="G32" s="36" t="str">
        <x:v>Codex</x:v>
      </x:c>
      <x:c r="H32" s="36" t="str">
        <x:v>Implemented, reviewed, tested, and documented.</x:v>
      </x:c>
      <x:c r="I32" s="36" t="str"/>
    </x:row>
    <x:row r="33">
      <x:c r="A33" s="36" t="str">
        <x:v>T-032</x:v>
      </x:c>
      <x:c r="B33" s="36" t="str">
        <x:v>S08</x:v>
      </x:c>
      <x:c r="C33" s="36" t="str">
        <x:v>Polish</x:v>
      </x:c>
      <x:c r="D33" s="36" t="str">
        <x:v>Visual polish pass against static mockup</x:v>
      </x:c>
      <x:c r="E33" s="36" t="str">
        <x:v>High</x:v>
      </x:c>
      <x:c r="F33" s="36" t="str">
        <x:v>Not Started</x:v>
      </x:c>
      <x:c r="G33" s="36" t="str">
        <x:v>Codex</x:v>
      </x:c>
      <x:c r="H33" s="36" t="str">
        <x:v>Implemented, reviewed, tested, and documented.</x:v>
      </x:c>
      <x:c r="I33" s="36" t="str"/>
    </x:row>
    <x:row r="34">
      <x:c r="A34" s="36" t="str">
        <x:v>T-033</x:v>
      </x:c>
      <x:c r="B34" s="36" t="str">
        <x:v>S08</x:v>
      </x:c>
      <x:c r="C34" s="36" t="str">
        <x:v>Docs</x:v>
      </x:c>
      <x:c r="D34" s="36" t="str">
        <x:v>Write README and demo script</x:v>
      </x:c>
      <x:c r="E34" s="36" t="str">
        <x:v>Medium</x:v>
      </x:c>
      <x:c r="F34" s="36" t="str">
        <x:v>Not Started</x:v>
      </x:c>
      <x:c r="G34" s="36" t="str">
        <x:v>Codex</x:v>
      </x:c>
      <x:c r="H34" s="36" t="str">
        <x:v>Implemented, reviewed, tested, and documented.</x:v>
      </x:c>
      <x:c r="I34" s="36" t="str"/>
    </x:row>
    <x:row r="35">
      <x:c r="A35" s="36" t="str">
        <x:v>T-034</x:v>
      </x:c>
      <x:c r="B35" s="36" t="str">
        <x:v>S08</x:v>
      </x:c>
      <x:c r="C35" s="36" t="str">
        <x:v>Docs</x:v>
      </x:c>
      <x:c r="D35" s="36" t="str">
        <x:v>Document compliance limitations</x:v>
      </x:c>
      <x:c r="E35" s="36" t="str">
        <x:v>Medium</x:v>
      </x:c>
      <x:c r="F35" s="36" t="str">
        <x:v>Not Started</x:v>
      </x:c>
      <x:c r="G35" s="36" t="str">
        <x:v>Codex</x:v>
      </x:c>
      <x:c r="H35" s="36" t="str">
        <x:v>Implemented, reviewed, tested, and documented.</x:v>
      </x:c>
      <x:c r="I35" s="36" t="str"/>
    </x:row>
  </x:sheetData>
  <x:conditionalFormatting sqref="F2:F35">
    <x:cfRule type="cellIs" dxfId="0" priority="1">
      <x:formula>"Done"</x:formula>
    </x:cfRule>
    <x:cfRule type="cellIs" dxfId="1" priority="2">
      <x:formula>"Blocked"</x:formula>
    </x:cfRule>
  </x:conditionalFormatting>
  <x:dataValidations count="2">
    <x:dataValidation type="list" sqref="E2:E35">
      <x:formula1>"High,Medium,Low"</x:formula1>
    </x:dataValidation>
    <x:dataValidation type="list" sqref="F2:F35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ccf317a9834c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8" hidden="0" customWidth="1"/>
    <x:col min="5" max="5" width="14" hidden="0" customWidth="1"/>
    <x:col min="6" max="6" width="16" hidden="0" customWidth="1"/>
    <x:col min="7" max="7" width="12" hidden="0" customWidth="1"/>
    <x:col min="8" max="8" width="16" hidden="0" customWidth="1"/>
    <x:col min="9" max="9" width="24" hidden="0" customWidth="1"/>
    <x:col min="10" max="10" width="16" hidden="0" customWidth="1"/>
    <x:col min="11" max="11" width="34" hidden="0" customWidth="1"/>
  </x:cols>
  <x:sheetData>
    <x:row r="1" ht="15" hidden="0" customHeight="1">
      <x:c r="A1" s="13" t="str">
        <x:v>Date</x:v>
      </x:c>
      <x:c r="B1" s="13" t="str">
        <x:v>Org</x:v>
      </x:c>
      <x:c r="C1" s="13" t="str">
        <x:v>Contact</x:v>
      </x:c>
      <x:c r="D1" s="13" t="str">
        <x:v>Role</x:v>
      </x:c>
      <x:c r="E1" s="13" t="str">
        <x:v>Facility Count</x:v>
      </x:c>
      <x:c r="F1" s="13" t="str">
        <x:v>MA Denials/Month</x:v>
      </x:c>
      <x:c r="G1" s="13" t="str">
        <x:v>Appeal Rate</x:v>
      </x:c>
      <x:c r="H1" s="13" t="str">
        <x:v>Packet Time (hrs)</x:v>
      </x:c>
      <x:c r="I1" s="13" t="str">
        <x:v>Can Provide De-ID Cases</x:v>
      </x:c>
      <x:c r="J1" s="13" t="str">
        <x:v>Qualified Pilot</x:v>
      </x:c>
      <x:c r="K1" s="13" t="str">
        <x:v>Notes</x:v>
      </x:c>
    </x:row>
    <x:row r="2">
      <x:c r="A2" s="38"/>
      <x:c r="B2" t="str"/>
      <x:c r="C2" t="str"/>
      <x:c r="D2" t="str"/>
      <x:c r="E2"/>
      <x:c r="F2"/>
      <x:c r="G2" s="40"/>
      <x:c r="H2" s="42"/>
      <x:c r="I2" t="str"/>
      <x:c r="J2" t="str"/>
      <x:c r="K2" t="str"/>
    </x:row>
    <x:row r="3">
      <x:c r="A3" s="38"/>
      <x:c r="B3" t="str"/>
      <x:c r="C3" t="str"/>
      <x:c r="D3" t="str"/>
      <x:c r="E3"/>
      <x:c r="F3"/>
      <x:c r="G3" s="40"/>
      <x:c r="H3" s="42"/>
      <x:c r="I3" t="str"/>
      <x:c r="J3" t="str"/>
      <x:c r="K3" t="str"/>
    </x:row>
    <x:row r="4">
      <x:c r="A4" s="38"/>
      <x:c r="B4" t="str"/>
      <x:c r="C4" t="str"/>
      <x:c r="D4" t="str"/>
      <x:c r="E4"/>
      <x:c r="F4"/>
      <x:c r="G4" s="40"/>
      <x:c r="H4" s="42"/>
      <x:c r="I4" t="str"/>
      <x:c r="J4" t="str"/>
      <x:c r="K4" t="str"/>
    </x:row>
    <x:row r="5">
      <x:c r="A5" s="38"/>
      <x:c r="B5" t="str"/>
      <x:c r="C5" t="str"/>
      <x:c r="D5" t="str"/>
      <x:c r="E5"/>
      <x:c r="F5"/>
      <x:c r="G5" s="40"/>
      <x:c r="H5" s="42"/>
      <x:c r="I5" t="str"/>
      <x:c r="J5" t="str"/>
      <x:c r="K5" t="str"/>
    </x:row>
    <x:row r="6">
      <x:c r="A6" s="38"/>
      <x:c r="B6" t="str"/>
      <x:c r="C6" t="str"/>
      <x:c r="D6" t="str"/>
      <x:c r="E6"/>
      <x:c r="F6"/>
      <x:c r="G6" s="40"/>
      <x:c r="H6" s="42"/>
      <x:c r="I6" t="str"/>
      <x:c r="J6" t="str"/>
      <x:c r="K6" t="str"/>
    </x:row>
    <x:row r="7">
      <x:c r="A7" s="38"/>
      <x:c r="B7" t="str"/>
      <x:c r="C7" t="str"/>
      <x:c r="D7" t="str"/>
      <x:c r="E7"/>
      <x:c r="F7"/>
      <x:c r="G7" s="40"/>
      <x:c r="H7" s="42"/>
      <x:c r="I7" t="str"/>
      <x:c r="J7" t="str"/>
      <x:c r="K7" t="str"/>
    </x:row>
    <x:row r="8">
      <x:c r="A8" s="38"/>
      <x:c r="B8" t="str"/>
      <x:c r="C8" t="str"/>
      <x:c r="D8" t="str"/>
      <x:c r="E8"/>
      <x:c r="F8"/>
      <x:c r="G8" s="40"/>
      <x:c r="H8" s="42"/>
      <x:c r="I8" t="str"/>
      <x:c r="J8" t="str"/>
      <x:c r="K8" t="str"/>
    </x:row>
    <x:row r="9">
      <x:c r="A9" s="38"/>
      <x:c r="B9" t="str"/>
      <x:c r="C9" t="str"/>
      <x:c r="D9" t="str"/>
      <x:c r="E9"/>
      <x:c r="F9"/>
      <x:c r="G9" s="40"/>
      <x:c r="H9" s="42"/>
      <x:c r="I9" t="str"/>
      <x:c r="J9" t="str"/>
      <x:c r="K9" t="str"/>
    </x:row>
    <x:row r="10">
      <x:c r="A10" s="38"/>
      <x:c r="B10" t="str"/>
      <x:c r="C10" t="str"/>
      <x:c r="D10" t="str"/>
      <x:c r="E10"/>
      <x:c r="F10"/>
      <x:c r="G10" s="40"/>
      <x:c r="H10" s="42"/>
      <x:c r="I10" t="str"/>
      <x:c r="J10" t="str"/>
      <x:c r="K10" t="str"/>
    </x:row>
    <x:row r="11">
      <x:c r="A11" s="38"/>
      <x:c r="B11" t="str"/>
      <x:c r="C11" t="str"/>
      <x:c r="D11" t="str"/>
      <x:c r="E11"/>
      <x:c r="F11"/>
      <x:c r="G11" s="40"/>
      <x:c r="H11" s="42"/>
      <x:c r="I11" t="str"/>
      <x:c r="J11" t="str"/>
      <x:c r="K11" t="str"/>
    </x:row>
    <x:row r="12">
      <x:c r="A12" s="38"/>
      <x:c r="B12" t="str"/>
      <x:c r="C12" t="str"/>
      <x:c r="D12" t="str"/>
      <x:c r="E12"/>
      <x:c r="F12"/>
      <x:c r="G12" s="40"/>
      <x:c r="H12" s="42"/>
      <x:c r="I12" t="str"/>
      <x:c r="J12" t="str"/>
      <x:c r="K12" t="str"/>
    </x:row>
    <x:row r="13">
      <x:c r="A13" s="38"/>
      <x:c r="B13" t="str"/>
      <x:c r="C13" t="str"/>
      <x:c r="D13" t="str"/>
      <x:c r="E13"/>
      <x:c r="F13"/>
      <x:c r="G13" s="40"/>
      <x:c r="H13" s="42"/>
      <x:c r="I13" t="str"/>
      <x:c r="J13" t="str"/>
      <x:c r="K13" t="str"/>
    </x:row>
    <x:row r="14">
      <x:c r="A14" s="38"/>
      <x:c r="B14" t="str"/>
      <x:c r="C14" t="str"/>
      <x:c r="D14" t="str"/>
      <x:c r="E14"/>
      <x:c r="F14"/>
      <x:c r="G14" s="40"/>
      <x:c r="H14" s="42"/>
      <x:c r="I14" t="str"/>
      <x:c r="J14" t="str"/>
      <x:c r="K14" t="str"/>
    </x:row>
    <x:row r="15">
      <x:c r="A15" s="38"/>
      <x:c r="B15" t="str"/>
      <x:c r="C15" t="str"/>
      <x:c r="D15" t="str"/>
      <x:c r="E15"/>
      <x:c r="F15"/>
      <x:c r="G15" s="40"/>
      <x:c r="H15" s="42"/>
      <x:c r="I15" t="str"/>
      <x:c r="J15" t="str"/>
      <x:c r="K15" t="str"/>
    </x:row>
    <x:row r="16">
      <x:c r="A16" s="38"/>
      <x:c r="B16" t="str"/>
      <x:c r="C16" t="str"/>
      <x:c r="D16" t="str"/>
      <x:c r="E16"/>
      <x:c r="F16"/>
      <x:c r="G16" s="40"/>
      <x:c r="H16" s="42"/>
      <x:c r="I16" t="str"/>
      <x:c r="J16" t="str"/>
      <x:c r="K16" t="str"/>
    </x:row>
    <x:row r="17">
      <x:c r="A17" s="38"/>
      <x:c r="B17" t="str"/>
      <x:c r="C17" t="str"/>
      <x:c r="D17" t="str"/>
      <x:c r="E17"/>
      <x:c r="F17"/>
      <x:c r="G17" s="40"/>
      <x:c r="H17" s="42"/>
      <x:c r="I17" t="str"/>
      <x:c r="J17" t="str"/>
      <x:c r="K17" t="str"/>
    </x:row>
    <x:row r="18">
      <x:c r="A18" s="38"/>
      <x:c r="B18" t="str"/>
      <x:c r="C18" t="str"/>
      <x:c r="D18" t="str"/>
      <x:c r="E18"/>
      <x:c r="F18"/>
      <x:c r="G18" s="40"/>
      <x:c r="H18" s="42"/>
      <x:c r="I18" t="str"/>
      <x:c r="J18" t="str"/>
      <x:c r="K18" t="str"/>
    </x:row>
    <x:row r="19">
      <x:c r="A19" s="38"/>
      <x:c r="B19" t="str"/>
      <x:c r="C19" t="str"/>
      <x:c r="D19" t="str"/>
      <x:c r="E19"/>
      <x:c r="F19"/>
      <x:c r="G19" s="40"/>
      <x:c r="H19" s="42"/>
      <x:c r="I19" t="str"/>
      <x:c r="J19" t="str"/>
      <x:c r="K19" t="str"/>
    </x:row>
    <x:row r="20">
      <x:c r="A20" s="38"/>
      <x:c r="B20" t="str"/>
      <x:c r="C20" t="str"/>
      <x:c r="D20" t="str"/>
      <x:c r="E20"/>
      <x:c r="F20"/>
      <x:c r="G20" s="40"/>
      <x:c r="H20" s="42"/>
      <x:c r="I20" t="str"/>
      <x:c r="J20" t="str"/>
      <x:c r="K20" t="str"/>
    </x:row>
    <x:row r="21">
      <x:c r="A21" s="38"/>
      <x:c r="B21" t="str"/>
      <x:c r="C21" t="str"/>
      <x:c r="D21" t="str"/>
      <x:c r="E21"/>
      <x:c r="F21"/>
      <x:c r="G21" s="40"/>
      <x:c r="H21" s="42"/>
      <x:c r="I21" t="str"/>
      <x:c r="J21" t="str"/>
      <x:c r="K21" t="str"/>
    </x:row>
    <x:row r="22">
      <x:c r="A22" s="38"/>
      <x:c r="B22" t="str"/>
      <x:c r="C22" t="str"/>
      <x:c r="D22" t="str"/>
      <x:c r="E22"/>
      <x:c r="F22"/>
      <x:c r="G22" s="40"/>
      <x:c r="H22" s="42"/>
      <x:c r="I22" t="str"/>
      <x:c r="J22" t="str"/>
      <x:c r="K22" t="str"/>
    </x:row>
    <x:row r="23">
      <x:c r="A23" s="38"/>
      <x:c r="B23" t="str"/>
      <x:c r="C23" t="str"/>
      <x:c r="D23" t="str"/>
      <x:c r="E23"/>
      <x:c r="F23"/>
      <x:c r="G23" s="40"/>
      <x:c r="H23" s="42"/>
      <x:c r="I23" t="str"/>
      <x:c r="J23" t="str"/>
      <x:c r="K23" t="str"/>
    </x:row>
    <x:row r="24">
      <x:c r="A24" s="38"/>
      <x:c r="B24" t="str"/>
      <x:c r="C24" t="str"/>
      <x:c r="D24" t="str"/>
      <x:c r="E24"/>
      <x:c r="F24"/>
      <x:c r="G24" s="40"/>
      <x:c r="H24" s="42"/>
      <x:c r="I24" t="str"/>
      <x:c r="J24" t="str"/>
      <x:c r="K24" t="str"/>
    </x:row>
    <x:row r="25">
      <x:c r="A25" s="38"/>
      <x:c r="B25" t="str"/>
      <x:c r="C25" t="str"/>
      <x:c r="D25" t="str"/>
      <x:c r="E25"/>
      <x:c r="F25"/>
      <x:c r="G25" s="40"/>
      <x:c r="H25" s="42"/>
      <x:c r="I25" t="str"/>
      <x:c r="J25" t="str"/>
      <x:c r="K25" t="str"/>
    </x:row>
    <x:row r="26">
      <x:c r="A26" s="38"/>
      <x:c r="B26" t="str"/>
      <x:c r="C26" t="str"/>
      <x:c r="D26" t="str"/>
      <x:c r="E26"/>
      <x:c r="F26"/>
      <x:c r="G26" s="40"/>
      <x:c r="H26" s="42"/>
      <x:c r="I26" t="str"/>
      <x:c r="J26" t="str"/>
      <x:c r="K26" t="str"/>
    </x:row>
  </x:sheetData>
  <x:dataValidations count="1">
    <x:dataValidation type="list" sqref="I2:J26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3ceb5d5dbb48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5" hidden="0" customWidth="1"/>
    <x:col min="3" max="3" width="18" hidden="0" customWidth="1"/>
    <x:col min="4" max="4" width="35" hidden="0" customWidth="1"/>
  </x:cols>
  <x:sheetData>
    <x:row r="1" ht="19.200000762939453" hidden="0" customHeight="1">
      <x:c r="A1" s="45" t="str">
        <x:v>Pilot ROI Calculator</x:v>
      </x:c>
    </x:row>
    <x:row r="3">
      <x:c r="A3" s="52" t="str">
        <x:v>Input</x:v>
      </x:c>
      <x:c r="B3" s="52" t="str">
        <x:v>Value</x:v>
      </x:c>
      <x:c r="C3" s="52" t="str">
        <x:v>Unit</x:v>
      </x:c>
      <x:c r="D3" s="52" t="str">
        <x:v>Notes</x:v>
      </x:c>
    </x:row>
    <x:row r="4">
      <x:c r="A4" s="53" t="str">
        <x:v>MA denials per month</x:v>
      </x:c>
      <x:c r="B4" s="36" t="n">
        <x:v>20</x:v>
      </x:c>
      <x:c r="C4" s="36" t="str">
        <x:v>denials</x:v>
      </x:c>
      <x:c r="D4" s="36" t="str">
        <x:v>Customer-specific</x:v>
      </x:c>
    </x:row>
    <x:row r="5">
      <x:c r="A5" s="53" t="str">
        <x:v>Current appeal rate</x:v>
      </x:c>
      <x:c r="B5" s="54" t="n">
        <x:v>0.25</x:v>
      </x:c>
      <x:c r="C5" s="36" t="str">
        <x:v>%</x:v>
      </x:c>
      <x:c r="D5" s="36" t="str">
        <x:v>Share appealed today</x:v>
      </x:c>
    </x:row>
    <x:row r="6">
      <x:c r="A6" s="53" t="str">
        <x:v>Target appeal rate</x:v>
      </x:c>
      <x:c r="B6" s="54" t="n">
        <x:v>0.5</x:v>
      </x:c>
      <x:c r="C6" s="36" t="str">
        <x:v>%</x:v>
      </x:c>
      <x:c r="D6" s="36" t="str">
        <x:v>After AppealForge</x:v>
      </x:c>
    </x:row>
    <x:row r="7">
      <x:c r="A7" s="53" t="str">
        <x:v>Current packet time</x:v>
      </x:c>
      <x:c r="B7" s="55" t="n">
        <x:v>2.5</x:v>
      </x:c>
      <x:c r="C7" s="36" t="str">
        <x:v>hours</x:v>
      </x:c>
      <x:c r="D7" s="36" t="str">
        <x:v>Manual assembly</x:v>
      </x:c>
    </x:row>
    <x:row r="8">
      <x:c r="A8" s="53" t="str">
        <x:v>Target packet time</x:v>
      </x:c>
      <x:c r="B8" s="36" t="n">
        <x:v>0.5</x:v>
      </x:c>
      <x:c r="C8" s="36" t="str">
        <x:v>hours</x:v>
      </x:c>
      <x:c r="D8" s="36" t="str">
        <x:v>With product</x:v>
      </x:c>
    </x:row>
    <x:row r="9">
      <x:c r="A9" s="53" t="str">
        <x:v>Staff hourly cost</x:v>
      </x:c>
      <x:c r="B9" s="56" t="n">
        <x:v>55</x:v>
      </x:c>
      <x:c r="C9" s="36" t="str">
        <x:v>$/hour</x:v>
      </x:c>
      <x:c r="D9" s="36" t="str">
        <x:v>Loaded cost</x:v>
      </x:c>
    </x:row>
    <x:row r="10">
      <x:c r="A10" s="53" t="str">
        <x:v>Expected overturn rate</x:v>
      </x:c>
      <x:c r="B10" s="54" t="n">
        <x:v>0.5</x:v>
      </x:c>
      <x:c r="C10" s="36" t="str">
        <x:v>%</x:v>
      </x:c>
      <x:c r="D10" s="36" t="str">
        <x:v>Use customer history</x:v>
      </x:c>
    </x:row>
    <x:row r="11">
      <x:c r="A11" s="53" t="str">
        <x:v>Avg value per successful appeal</x:v>
      </x:c>
      <x:c r="B11" s="56" t="n">
        <x:v>2500</x:v>
      </x:c>
      <x:c r="C11" s="36" t="str">
        <x:v>$</x:v>
      </x:c>
      <x:c r="D11" s="36" t="str">
        <x:v>Covered days/revenue</x:v>
      </x:c>
    </x:row>
    <x:row r="12">
      <x:c r="A12" s="53" t="str">
        <x:v>Monthly software cost</x:v>
      </x:c>
      <x:c r="B12" s="56" t="n">
        <x:v>4000</x:v>
      </x:c>
      <x:c r="C12" s="36" t="str">
        <x:v>$</x:v>
      </x:c>
      <x:c r="D12" s="36" t="str">
        <x:v>Pilot or SaaS fee</x:v>
      </x:c>
    </x:row>
    <x:row r="13">
      <x:c r="A13" s="36"/>
      <x:c r="B13" s="36"/>
      <x:c r="C13" s="36"/>
      <x:c r="D13" s="36"/>
    </x:row>
    <x:row r="14">
      <x:c r="A14" s="52" t="str">
        <x:v>Output</x:v>
      </x:c>
      <x:c r="B14" s="52" t="str">
        <x:v>Formula</x:v>
      </x:c>
      <x:c r="C14" s="52" t="str">
        <x:v>Value</x:v>
      </x:c>
      <x:c r="D14" s="36"/>
    </x:row>
    <x:row r="15">
      <x:c r="A15" s="53" t="str">
        <x:v>Current appealed packets</x:v>
      </x:c>
      <x:c r="B15" s="36" t="str">
        <x:v>=B4*B5</x:v>
      </x:c>
      <x:c r="C15" s="55" t="n">
        <x:f>B4*B5</x:f>
        <x:v>5</x:v>
      </x:c>
      <x:c r="D15" s="36"/>
    </x:row>
    <x:row r="16">
      <x:c r="A16" s="53" t="str">
        <x:v>Target appealed packets</x:v>
      </x:c>
      <x:c r="B16" s="36" t="str">
        <x:v>=B4*B6</x:v>
      </x:c>
      <x:c r="C16" s="55" t="n">
        <x:f>B4*B6</x:f>
        <x:v>10</x:v>
      </x:c>
      <x:c r="D16" s="36"/>
    </x:row>
    <x:row r="17">
      <x:c r="A17" s="53" t="str">
        <x:v>Packets processed after product</x:v>
      </x:c>
      <x:c r="B17" s="36" t="str">
        <x:v>=C16</x:v>
      </x:c>
      <x:c r="C17" s="55" t="n">
        <x:f>C16</x:f>
        <x:v>10</x:v>
      </x:c>
      <x:c r="D17" s="36"/>
    </x:row>
    <x:row r="18">
      <x:c r="A18" s="53" t="str">
        <x:v>Monthly labor savings</x:v>
      </x:c>
      <x:c r="B18" s="36" t="str">
        <x:v>=(B7-B8)*C17*B9</x:v>
      </x:c>
      <x:c r="C18" s="56" t="n">
        <x:f>(B7-B8)*C17*B9</x:f>
        <x:v>1100</x:v>
      </x:c>
      <x:c r="D18" s="36"/>
    </x:row>
    <x:row r="19">
      <x:c r="A19" s="53" t="str">
        <x:v>Additional appeals</x:v>
      </x:c>
      <x:c r="B19" s="36" t="str">
        <x:v>=C16-C15</x:v>
      </x:c>
      <x:c r="C19" s="55" t="n">
        <x:f>C16-C15</x:f>
        <x:v>5</x:v>
      </x:c>
      <x:c r="D19" s="36"/>
    </x:row>
    <x:row r="20">
      <x:c r="A20" s="53" t="str">
        <x:v>Monthly recovery upside</x:v>
      </x:c>
      <x:c r="B20" s="36" t="str">
        <x:v>=C19*B10*B11</x:v>
      </x:c>
      <x:c r="C20" s="56" t="n">
        <x:f>C19*B10*B11</x:f>
        <x:v>6250</x:v>
      </x:c>
      <x:c r="D20" s="36"/>
    </x:row>
    <x:row r="21">
      <x:c r="A21" s="53" t="str">
        <x:v>Total monthly value</x:v>
      </x:c>
      <x:c r="B21" s="36" t="str">
        <x:v>=C18+C20</x:v>
      </x:c>
      <x:c r="C21" s="56" t="n">
        <x:f>C18+C20</x:f>
        <x:v>7350</x:v>
      </x:c>
      <x:c r="D21" s="36"/>
    </x:row>
    <x:row r="22">
      <x:c r="A22" s="53" t="str">
        <x:v>ROI multiple</x:v>
      </x:c>
      <x:c r="B22" s="36" t="str">
        <x:v>=C21/B12</x:v>
      </x:c>
      <x:c r="C22" s="57" t="n">
        <x:f>C21/B12</x:f>
        <x:v>1.8375</x:v>
      </x:c>
      <x:c r="D22" s="3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2" hidden="0" customWidth="1"/>
    <x:col min="4" max="4" width="52" hidden="0" customWidth="1"/>
    <x:col min="5" max="5" width="12" hidden="0" customWidth="1"/>
    <x:col min="6" max="6" width="16" hidden="0" customWidth="1"/>
  </x:cols>
  <x:sheetData>
    <x:row r="1" ht="15" hidden="0" customHeight="1">
      <x:c r="A1" s="13" t="str">
        <x:v>Risk</x:v>
      </x:c>
      <x:c r="B1" s="13" t="str">
        <x:v>Probability</x:v>
      </x:c>
      <x:c r="C1" s="13" t="str">
        <x:v>Severity</x:v>
      </x:c>
      <x:c r="D1" s="13" t="str">
        <x:v>Mitigation</x:v>
      </x:c>
      <x:c r="E1" s="13" t="str">
        <x:v>Status</x:v>
      </x:c>
      <x:c r="F1" s="13" t="str">
        <x:v>Owner</x:v>
      </x:c>
    </x:row>
    <x:row r="2">
      <x:c r="A2" s="36" t="str">
        <x:v>PHI leakage into logs/vendors</x:v>
      </x:c>
      <x:c r="B2" s="36" t="str">
        <x:v>Medium</x:v>
      </x:c>
      <x:c r="C2" s="36" t="str">
        <x:v>High</x:v>
      </x:c>
      <x:c r="D2" s="36" t="str">
        <x:v>No live PHI until BAAs; log scrubbing; vendor review</x:v>
      </x:c>
      <x:c r="E2" s="36" t="str">
        <x:v>Open</x:v>
      </x:c>
      <x:c r="F2" s="36" t="str">
        <x:v>Security</x:v>
      </x:c>
    </x:row>
    <x:row r="3">
      <x:c r="A3" s="36" t="str">
        <x:v>Hallucinated clinical claims</x:v>
      </x:c>
      <x:c r="B3" s="36" t="str">
        <x:v>Medium</x:v>
      </x:c>
      <x:c r="C3" s="36" t="str">
        <x:v>High</x:v>
      </x:c>
      <x:c r="D3" s="36" t="str">
        <x:v>Citation-only generation; unsupported claim blocker; human approval</x:v>
      </x:c>
      <x:c r="E3" s="36" t="str">
        <x:v>Open</x:v>
      </x:c>
      <x:c r="F3" s="36" t="str">
        <x:v>Product</x:v>
      </x:c>
    </x:row>
    <x:row r="4">
      <x:c r="A4" s="36" t="str">
        <x:v>Proprietary payer criteria/IP</x:v>
      </x:c>
      <x:c r="B4" s="36" t="str">
        <x:v>Medium</x:v>
      </x:c>
      <x:c r="C4" s="36" t="str">
        <x:v>High</x:v>
      </x:c>
      <x:c r="D4" s="36" t="str">
        <x:v>Use public/general or customer-provided licensed criteria only</x:v>
      </x:c>
      <x:c r="E4" s="36" t="str">
        <x:v>Open</x:v>
      </x:c>
      <x:c r="F4" s="36" t="str">
        <x:v>Legal</x:v>
      </x:c>
    </x:row>
    <x:row r="5">
      <x:c r="A5" s="36" t="str">
        <x:v>Slow healthcare sales</x:v>
      </x:c>
      <x:c r="B5" s="36" t="str">
        <x:v>High</x:v>
      </x:c>
      <x:c r="C5" s="36" t="str">
        <x:v>Medium</x:v>
      </x:c>
      <x:c r="D5" s="36" t="str">
        <x:v>Regional operators; historical de-ID proof; paid pilot</x:v>
      </x:c>
      <x:c r="E5" s="36" t="str">
        <x:v>Open</x:v>
      </x:c>
      <x:c r="F5" s="36" t="str">
        <x:v>Founder</x:v>
      </x:c>
    </x:row>
    <x:row r="6">
      <x:c r="A6" s="36" t="str">
        <x:v>Bland UI reduces adoption</x:v>
      </x:c>
      <x:c r="B6" s="36" t="str">
        <x:v>Medium</x:v>
      </x:c>
      <x:c r="C6" s="36" t="str">
        <x:v>Medium</x:v>
      </x:c>
      <x:c r="D6" s="36" t="str">
        <x:v>Design polish sprint; static mockup as target</x:v>
      </x:c>
      <x:c r="E6" s="36" t="str">
        <x:v>Open</x:v>
      </x:c>
      <x:c r="F6" s="36" t="str">
        <x:v>Design</x:v>
      </x:c>
    </x:row>
    <x:row r="7">
      <x:c r="A7" s="36" t="str">
        <x:v>OCR misses evidence</x:v>
      </x:c>
      <x:c r="B7" s="36" t="str">
        <x:v>Medium</x:v>
      </x:c>
      <x:c r="C7" s="36" t="str">
        <x:v>Medium</x:v>
      </x:c>
      <x:c r="D7" s="36" t="str">
        <x:v>Confidence indicators; manual pinning; extraction QA</x:v>
      </x:c>
      <x:c r="E7" s="36" t="str">
        <x:v>Open</x:v>
      </x:c>
      <x:c r="F7" s="36" t="str">
        <x:v>Engineering</x:v>
      </x:c>
    </x:row>
    <x:row r="8">
      <x:c r="A8" s="36" t="str">
        <x:v>Physician distrust</x:v>
      </x:c>
      <x:c r="B8" s="36" t="str">
        <x:v>Medium</x:v>
      </x:c>
      <x:c r="C8" s="36" t="str">
        <x:v>High</x:v>
      </x:c>
      <x:c r="D8" s="36" t="str">
        <x:v>Source quote drawer and approval workflow</x:v>
      </x:c>
      <x:c r="E8" s="36" t="str">
        <x:v>Open</x:v>
      </x:c>
      <x:c r="F8" s="36" t="str">
        <x:v>Clinical</x:v>
      </x:c>
    </x:row>
  </x:sheetData>
  <x:conditionalFormatting sqref="C2:C8">
    <x:cfRule type="cellIs" dxfId="2" priority="1">
      <x:formula>"High"</x:formula>
    </x:cfRule>
  </x:conditionalFormatting>
  <x:dataValidations count="2">
    <x:dataValidation type="list" sqref="B2:C8">
      <x:formula1>"Low,Medium,High"</x:formula1>
    </x:dataValidation>
    <x:dataValidation type="list" sqref="E2:E8">
      <x:formula1>"Open,Mitigating,Closed"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238ddd30f647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12" hidden="0" customWidth="1"/>
    <x:col min="5" max="5" width="16" hidden="0" customWidth="1"/>
    <x:col min="6" max="6" width="36" hidden="0" customWidth="1"/>
  </x:cols>
  <x:sheetData>
    <x:row r="1" ht="15" hidden="0" customHeight="1">
      <x:c r="A1" s="13" t="str">
        <x:v>Area</x:v>
      </x:c>
      <x:c r="B1" s="13" t="str">
        <x:v>Control</x:v>
      </x:c>
      <x:c r="C1" s="13" t="str">
        <x:v>Required Before Live PHI</x:v>
      </x:c>
      <x:c r="D1" s="13" t="str">
        <x:v>Status</x:v>
      </x:c>
      <x:c r="E1" s="13" t="str">
        <x:v>Owner</x:v>
      </x:c>
      <x:c r="F1" s="13" t="str">
        <x:v>Evidence/Notes</x:v>
      </x:c>
    </x:row>
    <x:row r="2">
      <x:c r="A2" s="36" t="str">
        <x:v>Vendor</x:v>
      </x:c>
      <x:c r="B2" s="36" t="str">
        <x:v>BAA with hosting/storage</x:v>
      </x:c>
      <x:c r="C2" s="36" t="str">
        <x:v>Yes</x:v>
      </x:c>
      <x:c r="D2" s="36" t="str">
        <x:v>Open</x:v>
      </x:c>
      <x:c r="E2" s="36" t="str">
        <x:v>Founder</x:v>
      </x:c>
      <x:c r="F2" s="36" t="str"/>
    </x:row>
    <x:row r="3">
      <x:c r="A3" s="36" t="str">
        <x:v>Vendor</x:v>
      </x:c>
      <x:c r="B3" s="36" t="str">
        <x:v>BAA with OCR/LLM vendors</x:v>
      </x:c>
      <x:c r="C3" s="36" t="str">
        <x:v>Yes</x:v>
      </x:c>
      <x:c r="D3" s="36" t="str">
        <x:v>Open</x:v>
      </x:c>
      <x:c r="E3" s="36" t="str">
        <x:v>Founder</x:v>
      </x:c>
      <x:c r="F3" s="36" t="str"/>
    </x:row>
    <x:row r="4">
      <x:c r="A4" s="36" t="str">
        <x:v>Security</x:v>
      </x:c>
      <x:c r="B4" s="36" t="str">
        <x:v>No PHI in logs</x:v>
      </x:c>
      <x:c r="C4" s="36" t="str">
        <x:v>Yes</x:v>
      </x:c>
      <x:c r="D4" s="36" t="str">
        <x:v>Open</x:v>
      </x:c>
      <x:c r="E4" s="36" t="str">
        <x:v>Engineering</x:v>
      </x:c>
      <x:c r="F4" s="36" t="str"/>
    </x:row>
    <x:row r="5">
      <x:c r="A5" s="36" t="str">
        <x:v>Security</x:v>
      </x:c>
      <x:c r="B5" s="36" t="str">
        <x:v>RBAC/org scoping</x:v>
      </x:c>
      <x:c r="C5" s="36" t="str">
        <x:v>Yes</x:v>
      </x:c>
      <x:c r="D5" s="36" t="str">
        <x:v>Open</x:v>
      </x:c>
      <x:c r="E5" s="36" t="str">
        <x:v>Engineering</x:v>
      </x:c>
      <x:c r="F5" s="36" t="str"/>
    </x:row>
    <x:row r="6">
      <x:c r="A6" s="36" t="str">
        <x:v>Security</x:v>
      </x:c>
      <x:c r="B6" s="36" t="str">
        <x:v>Audit events for PHI actions</x:v>
      </x:c>
      <x:c r="C6" s="36" t="str">
        <x:v>Yes</x:v>
      </x:c>
      <x:c r="D6" s="36" t="str">
        <x:v>Open</x:v>
      </x:c>
      <x:c r="E6" s="36" t="str">
        <x:v>Engineering</x:v>
      </x:c>
      <x:c r="F6" s="36" t="str"/>
    </x:row>
    <x:row r="7">
      <x:c r="A7" s="36" t="str">
        <x:v>Security</x:v>
      </x:c>
      <x:c r="B7" s="36" t="str">
        <x:v>Encryption at rest and in transit</x:v>
      </x:c>
      <x:c r="C7" s="36" t="str">
        <x:v>Yes</x:v>
      </x:c>
      <x:c r="D7" s="36" t="str">
        <x:v>Open</x:v>
      </x:c>
      <x:c r="E7" s="36" t="str">
        <x:v>Engineering</x:v>
      </x:c>
      <x:c r="F7" s="36" t="str"/>
    </x:row>
    <x:row r="8">
      <x:c r="A8" s="36" t="str">
        <x:v>AI Safety</x:v>
      </x:c>
      <x:c r="B8" s="36" t="str">
        <x:v>Citation-only clinical claims</x:v>
      </x:c>
      <x:c r="C8" s="36" t="str">
        <x:v>Yes</x:v>
      </x:c>
      <x:c r="D8" s="36" t="str">
        <x:v>Open</x:v>
      </x:c>
      <x:c r="E8" s="36" t="str">
        <x:v>Product</x:v>
      </x:c>
      <x:c r="F8" s="36" t="str"/>
    </x:row>
    <x:row r="9">
      <x:c r="A9" s="36" t="str">
        <x:v>AI Safety</x:v>
      </x:c>
      <x:c r="B9" s="36" t="str">
        <x:v>Unsupported claim blocker</x:v>
      </x:c>
      <x:c r="C9" s="36" t="str">
        <x:v>Yes</x:v>
      </x:c>
      <x:c r="D9" s="36" t="str">
        <x:v>Open</x:v>
      </x:c>
      <x:c r="E9" s="36" t="str">
        <x:v>Engineering</x:v>
      </x:c>
      <x:c r="F9" s="36" t="str"/>
    </x:row>
    <x:row r="10">
      <x:c r="A10" s="36" t="str">
        <x:v>Clinical</x:v>
      </x:c>
      <x:c r="B10" s="36" t="str">
        <x:v>Human approval before export</x:v>
      </x:c>
      <x:c r="C10" s="36" t="str">
        <x:v>Yes</x:v>
      </x:c>
      <x:c r="D10" s="36" t="str">
        <x:v>Open</x:v>
      </x:c>
      <x:c r="E10" s="36" t="str">
        <x:v>Clinical</x:v>
      </x:c>
      <x:c r="F10" s="36" t="str"/>
    </x:row>
    <x:row r="11">
      <x:c r="A11" s="36" t="str">
        <x:v>Compliance</x:v>
      </x:c>
      <x:c r="B11" s="36" t="str">
        <x:v>Risk analysis completed</x:v>
      </x:c>
      <x:c r="C11" s="36" t="str">
        <x:v>Yes</x:v>
      </x:c>
      <x:c r="D11" s="36" t="str">
        <x:v>Open</x:v>
      </x:c>
      <x:c r="E11" s="36" t="str">
        <x:v>Founder</x:v>
      </x:c>
      <x:c r="F11" s="36" t="str"/>
    </x:row>
    <x:row r="12">
      <x:c r="A12" s="36" t="str">
        <x:v>Compliance</x:v>
      </x:c>
      <x:c r="B12" s="36" t="str">
        <x:v>Incident response plan</x:v>
      </x:c>
      <x:c r="C12" s="36" t="str">
        <x:v>Yes</x:v>
      </x:c>
      <x:c r="D12" s="36" t="str">
        <x:v>Open</x:v>
      </x:c>
      <x:c r="E12" s="36" t="str">
        <x:v>Founder</x:v>
      </x:c>
      <x:c r="F12" s="36" t="str"/>
    </x:row>
    <x:row r="13">
      <x:c r="A13" s="36" t="str">
        <x:v>Data</x:v>
      </x:c>
      <x:c r="B13" s="36" t="str">
        <x:v>Retention/deletion controls</x:v>
      </x:c>
      <x:c r="C13" s="36" t="str">
        <x:v>Yes</x:v>
      </x:c>
      <x:c r="D13" s="36" t="str">
        <x:v>Open</x:v>
      </x:c>
      <x:c r="E13" s="36" t="str">
        <x:v>Engineering</x:v>
      </x:c>
      <x:c r="F13" s="36" t="str"/>
    </x:row>
  </x:sheetData>
  <x:conditionalFormatting sqref="D2:D13">
    <x:cfRule type="cellIs" dxfId="3" priority="1">
      <x:formula>"Open"</x:formula>
    </x:cfRule>
  </x:conditionalFormatting>
  <x:dataValidations count="1">
    <x:dataValidation type="list" sqref="D2:D13">
      <x:formula1>"Open,In Progress,Done,N/A"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ce69e254ba498a"/>
  </x:tableParts>
</x:worksheet>
</file>